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ama\Downloads\"/>
    </mc:Choice>
  </mc:AlternateContent>
  <xr:revisionPtr revIDLastSave="0" documentId="13_ncr:1_{D2E6AF92-422D-4BCC-9956-8E893CB0B2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cedure Tes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N24" i="2"/>
  <c r="N23" i="2"/>
  <c r="K23" i="2"/>
  <c r="L23" i="2" s="1"/>
  <c r="I23" i="2"/>
  <c r="N22" i="2"/>
  <c r="K22" i="2"/>
  <c r="L22" i="2" s="1"/>
  <c r="I22" i="2"/>
  <c r="L19" i="2"/>
  <c r="M18" i="2"/>
  <c r="L18" i="2"/>
  <c r="I18" i="2"/>
  <c r="M17" i="2"/>
  <c r="L17" i="2"/>
  <c r="I17" i="2"/>
  <c r="H7" i="2"/>
  <c r="I7" i="2" s="1"/>
  <c r="F7" i="2"/>
  <c r="H6" i="2"/>
  <c r="I6" i="2" s="1"/>
  <c r="J6" i="2" s="1"/>
  <c r="F6" i="2"/>
  <c r="H5" i="2"/>
  <c r="I5" i="2" s="1"/>
  <c r="F5" i="2"/>
  <c r="H4" i="2"/>
  <c r="I4" i="2" s="1"/>
  <c r="J4" i="2" s="1"/>
  <c r="F4" i="2"/>
</calcChain>
</file>

<file path=xl/sharedStrings.xml><?xml version="1.0" encoding="utf-8"?>
<sst xmlns="http://schemas.openxmlformats.org/spreadsheetml/2006/main" count="56" uniqueCount="36">
  <si>
    <t>Initial Measurements</t>
  </si>
  <si>
    <t>Trial</t>
  </si>
  <si>
    <t>Material</t>
  </si>
  <si>
    <t>Empty core (with lid) mass (g)</t>
  </si>
  <si>
    <t>Mass of core with solids</t>
  </si>
  <si>
    <t>Mass of solids</t>
  </si>
  <si>
    <t>Mass of water added</t>
  </si>
  <si>
    <t>volume of water cm3</t>
  </si>
  <si>
    <t>Q (1 miutes)( cm3/sec)</t>
  </si>
  <si>
    <t>1.A</t>
  </si>
  <si>
    <t>Plastic</t>
  </si>
  <si>
    <t>1.B</t>
  </si>
  <si>
    <t>2.A</t>
  </si>
  <si>
    <t>Metal</t>
  </si>
  <si>
    <t>2.B</t>
  </si>
  <si>
    <t>A</t>
  </si>
  <si>
    <t>Infiltration</t>
  </si>
  <si>
    <t>B</t>
  </si>
  <si>
    <t>Evaporation</t>
  </si>
  <si>
    <t>Infiltration (A)</t>
  </si>
  <si>
    <t>mass of empty empty beaker</t>
  </si>
  <si>
    <t>Mass of Empty core</t>
  </si>
  <si>
    <t>Mass of core w/solids</t>
  </si>
  <si>
    <t>mass of solids</t>
  </si>
  <si>
    <t>Mass of empty beaker</t>
  </si>
  <si>
    <t>mass of water collected</t>
  </si>
  <si>
    <t>Volume of water</t>
  </si>
  <si>
    <t>Q in cm3/sec</t>
  </si>
  <si>
    <t>Evaporation (B)</t>
  </si>
  <si>
    <t>@ 3pm 3/25/26</t>
  </si>
  <si>
    <t>Mass of core after evap</t>
  </si>
  <si>
    <t>Mass of water loss</t>
  </si>
  <si>
    <t>1b</t>
  </si>
  <si>
    <t>2b</t>
  </si>
  <si>
    <t>345pm</t>
  </si>
  <si>
    <t>4 plastic and 4 metals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</si>
</sst>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N27"/>
  <sheetViews>
    <sheetView tabSelected="1" workbookViewId="0">
      <selection activeCell="B8" sqref="B8"/>
    </sheetView>
  </sheetViews>
  <sheetFormatPr defaultColWidth="12.6640625" defaultRowHeight="15.75" customHeight="1" x14ac:dyDescent="0.25"/>
  <cols>
    <col min="2" max="2" width="26" customWidth="1"/>
    <col min="3" max="3" width="20.44140625" customWidth="1"/>
    <col min="4" max="4" width="23" customWidth="1"/>
    <col min="5" max="5" width="18.6640625" customWidth="1"/>
    <col min="8" max="8" width="16.44140625" customWidth="1"/>
    <col min="13" max="13" width="18.33203125" customWidth="1"/>
  </cols>
  <sheetData>
    <row r="2" spans="1:13" x14ac:dyDescent="0.25">
      <c r="B2" s="1" t="s">
        <v>0</v>
      </c>
      <c r="C2" s="1"/>
    </row>
    <row r="3" spans="1:13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  <c r="I3" s="1" t="s">
        <v>7</v>
      </c>
      <c r="J3" s="1" t="s">
        <v>8</v>
      </c>
    </row>
    <row r="4" spans="1:13" x14ac:dyDescent="0.25">
      <c r="B4" s="1" t="s">
        <v>9</v>
      </c>
      <c r="C4" s="1" t="s">
        <v>10</v>
      </c>
      <c r="D4" s="1">
        <v>70.56</v>
      </c>
      <c r="E4" s="1">
        <v>261.47000000000003</v>
      </c>
      <c r="F4" s="1">
        <f t="shared" ref="F4:F7" si="0">E4-D4</f>
        <v>190.91000000000003</v>
      </c>
      <c r="G4" s="1">
        <v>343.52</v>
      </c>
      <c r="H4" s="1">
        <f>G4-C17</f>
        <v>256.64999999999998</v>
      </c>
      <c r="I4" s="1">
        <f t="shared" ref="I4:I7" si="1">H4</f>
        <v>256.64999999999998</v>
      </c>
      <c r="J4" s="1">
        <f>I4/60</f>
        <v>4.2774999999999999</v>
      </c>
    </row>
    <row r="5" spans="1:13" x14ac:dyDescent="0.25">
      <c r="B5" s="1" t="s">
        <v>11</v>
      </c>
      <c r="C5" s="1" t="s">
        <v>10</v>
      </c>
      <c r="D5" s="1">
        <v>29.87</v>
      </c>
      <c r="E5" s="1">
        <v>208.28</v>
      </c>
      <c r="F5" s="1">
        <f t="shared" si="0"/>
        <v>178.41</v>
      </c>
      <c r="G5" s="1">
        <v>252.94</v>
      </c>
      <c r="H5" s="1">
        <f>G5-E5</f>
        <v>44.66</v>
      </c>
      <c r="I5" s="1">
        <f t="shared" si="1"/>
        <v>44.66</v>
      </c>
    </row>
    <row r="6" spans="1:13" x14ac:dyDescent="0.25">
      <c r="B6" s="1" t="s">
        <v>12</v>
      </c>
      <c r="C6" s="1" t="s">
        <v>13</v>
      </c>
      <c r="D6" s="1">
        <v>127.72</v>
      </c>
      <c r="E6" s="1">
        <v>212.04</v>
      </c>
      <c r="F6" s="1">
        <f t="shared" si="0"/>
        <v>84.32</v>
      </c>
      <c r="G6" s="1">
        <v>307.7</v>
      </c>
      <c r="H6" s="1">
        <f>G6-C16</f>
        <v>220.74</v>
      </c>
      <c r="I6" s="1">
        <f t="shared" si="1"/>
        <v>220.74</v>
      </c>
      <c r="J6" s="1">
        <f>I6/60</f>
        <v>3.6790000000000003</v>
      </c>
    </row>
    <row r="7" spans="1:13" x14ac:dyDescent="0.25">
      <c r="B7" s="1" t="s">
        <v>14</v>
      </c>
      <c r="C7" s="1" t="s">
        <v>13</v>
      </c>
      <c r="D7" s="1">
        <v>68.510000000000005</v>
      </c>
      <c r="E7" s="1">
        <v>158.49</v>
      </c>
      <c r="F7" s="1">
        <f t="shared" si="0"/>
        <v>89.98</v>
      </c>
      <c r="G7" s="1">
        <v>182.22</v>
      </c>
      <c r="H7" s="1">
        <f>G7-E7</f>
        <v>23.72999999999999</v>
      </c>
      <c r="I7" s="1">
        <f t="shared" si="1"/>
        <v>23.72999999999999</v>
      </c>
    </row>
    <row r="11" spans="1:13" x14ac:dyDescent="0.25">
      <c r="A11" s="1" t="s">
        <v>15</v>
      </c>
      <c r="B11" s="1" t="s">
        <v>16</v>
      </c>
    </row>
    <row r="12" spans="1:13" x14ac:dyDescent="0.25">
      <c r="A12" s="1" t="s">
        <v>17</v>
      </c>
      <c r="B12" s="1" t="s">
        <v>18</v>
      </c>
    </row>
    <row r="15" spans="1:13" x14ac:dyDescent="0.25">
      <c r="E15" s="3" t="s">
        <v>19</v>
      </c>
      <c r="F15" s="4"/>
      <c r="G15" s="4"/>
      <c r="H15" s="4"/>
      <c r="I15" s="4"/>
      <c r="J15" s="4"/>
      <c r="K15" s="4"/>
      <c r="L15" s="4"/>
      <c r="M15" s="4"/>
    </row>
    <row r="16" spans="1:13" x14ac:dyDescent="0.25">
      <c r="B16" s="1" t="s">
        <v>20</v>
      </c>
      <c r="C16" s="1">
        <v>86.96</v>
      </c>
      <c r="E16" s="1" t="s">
        <v>1</v>
      </c>
      <c r="F16" s="1" t="s">
        <v>2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</row>
    <row r="17" spans="3:14" x14ac:dyDescent="0.25">
      <c r="C17" s="1">
        <v>86.87</v>
      </c>
      <c r="E17" s="1" t="s">
        <v>9</v>
      </c>
      <c r="F17" s="1" t="s">
        <v>10</v>
      </c>
      <c r="G17" s="1">
        <v>70.56</v>
      </c>
      <c r="H17" s="1">
        <v>261.47000000000003</v>
      </c>
      <c r="I17" s="1">
        <f t="shared" ref="I17:I18" si="2">H17-G17</f>
        <v>190.91000000000003</v>
      </c>
      <c r="J17" s="1">
        <v>86.87</v>
      </c>
      <c r="K17" s="1">
        <v>256.64999999999998</v>
      </c>
      <c r="L17" s="1">
        <f t="shared" ref="L17:L19" si="3">K17</f>
        <v>256.64999999999998</v>
      </c>
      <c r="M17" s="1">
        <f t="shared" ref="M17:M18" si="4">L17/60</f>
        <v>4.2774999999999999</v>
      </c>
    </row>
    <row r="18" spans="3:14" x14ac:dyDescent="0.25">
      <c r="E18" s="1" t="s">
        <v>12</v>
      </c>
      <c r="F18" s="1" t="s">
        <v>13</v>
      </c>
      <c r="G18" s="1">
        <v>127.72</v>
      </c>
      <c r="H18" s="1">
        <v>212.04</v>
      </c>
      <c r="I18" s="1">
        <f t="shared" si="2"/>
        <v>84.32</v>
      </c>
      <c r="J18" s="1">
        <v>86.96</v>
      </c>
      <c r="K18" s="1">
        <v>220.74</v>
      </c>
      <c r="L18" s="1">
        <f t="shared" si="3"/>
        <v>220.74</v>
      </c>
      <c r="M18" s="1">
        <f t="shared" si="4"/>
        <v>3.6790000000000003</v>
      </c>
    </row>
    <row r="19" spans="3:14" x14ac:dyDescent="0.25">
      <c r="L19" s="1">
        <f t="shared" si="3"/>
        <v>0</v>
      </c>
    </row>
    <row r="20" spans="3:14" x14ac:dyDescent="0.25">
      <c r="E20" s="3" t="s">
        <v>28</v>
      </c>
      <c r="F20" s="4"/>
      <c r="G20" s="4"/>
      <c r="H20" s="4"/>
      <c r="I20" s="4"/>
      <c r="J20" s="4"/>
      <c r="K20" s="4"/>
      <c r="L20" s="4"/>
      <c r="M20" s="4"/>
      <c r="N20" s="1" t="s">
        <v>29</v>
      </c>
    </row>
    <row r="21" spans="3:14" x14ac:dyDescent="0.25">
      <c r="E21" s="1" t="s">
        <v>1</v>
      </c>
      <c r="F21" s="1" t="s">
        <v>2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25</v>
      </c>
      <c r="L21" s="1" t="s">
        <v>26</v>
      </c>
      <c r="M21" s="1" t="s">
        <v>30</v>
      </c>
      <c r="N21" s="1" t="s">
        <v>31</v>
      </c>
    </row>
    <row r="22" spans="3:14" x14ac:dyDescent="0.25">
      <c r="E22" s="1" t="s">
        <v>11</v>
      </c>
      <c r="F22" s="1" t="s">
        <v>10</v>
      </c>
      <c r="G22" s="1">
        <v>29.87</v>
      </c>
      <c r="H22" s="1">
        <v>208.28</v>
      </c>
      <c r="I22" s="1">
        <f t="shared" ref="I22:I23" si="5">H22-G22</f>
        <v>178.41</v>
      </c>
      <c r="J22" s="1">
        <v>252.94</v>
      </c>
      <c r="K22" s="1">
        <f t="shared" ref="K22:K23" si="6">J22-H22</f>
        <v>44.66</v>
      </c>
      <c r="L22" s="1">
        <f t="shared" ref="L22:L23" si="7">K22</f>
        <v>44.66</v>
      </c>
      <c r="M22" s="1">
        <v>224.08</v>
      </c>
      <c r="N22" s="1">
        <f t="shared" ref="N22:N23" si="8">J22-M22</f>
        <v>28.859999999999985</v>
      </c>
    </row>
    <row r="23" spans="3:14" x14ac:dyDescent="0.25">
      <c r="E23" s="1" t="s">
        <v>14</v>
      </c>
      <c r="F23" s="1" t="s">
        <v>13</v>
      </c>
      <c r="G23" s="1">
        <v>68.510000000000005</v>
      </c>
      <c r="H23" s="1">
        <v>158.49</v>
      </c>
      <c r="I23" s="1">
        <f t="shared" si="5"/>
        <v>89.98</v>
      </c>
      <c r="J23" s="1">
        <v>182.22</v>
      </c>
      <c r="K23" s="1">
        <f t="shared" si="6"/>
        <v>23.72999999999999</v>
      </c>
      <c r="L23" s="1">
        <f t="shared" si="7"/>
        <v>23.72999999999999</v>
      </c>
      <c r="M23" s="1">
        <v>158.18</v>
      </c>
      <c r="N23" s="1">
        <f t="shared" si="8"/>
        <v>24.039999999999992</v>
      </c>
    </row>
    <row r="24" spans="3:14" x14ac:dyDescent="0.25">
      <c r="L24" s="1" t="s">
        <v>32</v>
      </c>
      <c r="M24" s="1">
        <v>206.84</v>
      </c>
      <c r="N24" s="1">
        <f t="shared" ref="N24:N25" si="9">J22-M24</f>
        <v>46.099999999999994</v>
      </c>
    </row>
    <row r="25" spans="3:14" x14ac:dyDescent="0.25">
      <c r="L25" s="1" t="s">
        <v>33</v>
      </c>
      <c r="M25" s="1">
        <v>157.22999999999999</v>
      </c>
      <c r="N25" s="1">
        <f t="shared" si="9"/>
        <v>24.990000000000009</v>
      </c>
    </row>
    <row r="26" spans="3:14" x14ac:dyDescent="0.25">
      <c r="L26" s="1" t="s">
        <v>34</v>
      </c>
    </row>
    <row r="27" spans="3:14" x14ac:dyDescent="0.25">
      <c r="L27" s="2">
        <v>46108</v>
      </c>
      <c r="N27" s="1" t="s">
        <v>35</v>
      </c>
    </row>
  </sheetData>
  <mergeCells count="2">
    <mergeCell ref="E15:M15"/>
    <mergeCell ref="E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Diamante Barrett</cp:lastModifiedBy>
  <dcterms:modified xsi:type="dcterms:W3CDTF">2026-04-02T02:19:40Z</dcterms:modified>
</cp:coreProperties>
</file>