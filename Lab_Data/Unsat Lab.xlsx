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iltration" sheetId="1" r:id="rId5"/>
    <sheet state="visible" name="Evaporation" sheetId="2" r:id="rId6"/>
  </sheets>
  <definedNames/>
  <calcPr/>
</workbook>
</file>

<file path=xl/sharedStrings.xml><?xml version="1.0" encoding="utf-8"?>
<sst xmlns="http://schemas.openxmlformats.org/spreadsheetml/2006/main" count="56" uniqueCount="36">
  <si>
    <t>Initial Measurements</t>
  </si>
  <si>
    <t>Trial</t>
  </si>
  <si>
    <t>Material</t>
  </si>
  <si>
    <t>Empty core (with lid) mass (g)</t>
  </si>
  <si>
    <t>Mass of core with solids</t>
  </si>
  <si>
    <t>Mass of solids</t>
  </si>
  <si>
    <t>Mass of water added</t>
  </si>
  <si>
    <t>volume of water cm3</t>
  </si>
  <si>
    <t>Q (1 miutes)( cm3/sec)</t>
  </si>
  <si>
    <t>1.A</t>
  </si>
  <si>
    <t>Plastic</t>
  </si>
  <si>
    <t>1.B</t>
  </si>
  <si>
    <t>2.A</t>
  </si>
  <si>
    <t>Metal</t>
  </si>
  <si>
    <t>2.B</t>
  </si>
  <si>
    <t>A</t>
  </si>
  <si>
    <t>Infiltration</t>
  </si>
  <si>
    <t>B</t>
  </si>
  <si>
    <t>Evaporation</t>
  </si>
  <si>
    <t>Infiltration (A)</t>
  </si>
  <si>
    <t>mass of empty empty beaker</t>
  </si>
  <si>
    <t>Mass of Empty core</t>
  </si>
  <si>
    <t>Mass of core w/solids</t>
  </si>
  <si>
    <t>mass of solids</t>
  </si>
  <si>
    <t>Mass of empty beaker</t>
  </si>
  <si>
    <t>mass of water collected</t>
  </si>
  <si>
    <t>Volume of water</t>
  </si>
  <si>
    <t>Q in cm3/sec</t>
  </si>
  <si>
    <t>Evaporation (B)</t>
  </si>
  <si>
    <t>@ 3pm 3/25/26</t>
  </si>
  <si>
    <t>Mass of core after evap</t>
  </si>
  <si>
    <t>Mass of water loss</t>
  </si>
  <si>
    <t>1b</t>
  </si>
  <si>
    <t>2b</t>
  </si>
  <si>
    <t>345pm</t>
  </si>
  <si>
    <t>4 plastic and 4 metals at the same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</si>
</sst>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ill="1" applyFont="1">
      <alignment horizontal="center" readingOrder="0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0"/>
    <col customWidth="1" min="3" max="3" width="20.5"/>
    <col customWidth="1" min="4" max="4" width="23.0"/>
    <col customWidth="1" min="5" max="5" width="18.63"/>
    <col customWidth="1" min="8" max="8" width="16.5"/>
    <col customWidth="1" min="13" max="13" width="18.38"/>
  </cols>
  <sheetData>
    <row r="2">
      <c r="B2" s="1" t="s">
        <v>0</v>
      </c>
      <c r="C2" s="1"/>
    </row>
    <row r="3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/>
      <c r="H3" s="1" t="s">
        <v>6</v>
      </c>
      <c r="I3" s="1" t="s">
        <v>7</v>
      </c>
      <c r="J3" s="1" t="s">
        <v>8</v>
      </c>
    </row>
    <row r="4">
      <c r="B4" s="1" t="s">
        <v>9</v>
      </c>
      <c r="C4" s="1" t="s">
        <v>10</v>
      </c>
      <c r="D4" s="1">
        <v>70.56</v>
      </c>
      <c r="E4" s="1">
        <v>261.47</v>
      </c>
      <c r="F4" s="2">
        <f t="shared" ref="F4:F7" si="1">E4-D4</f>
        <v>190.91</v>
      </c>
      <c r="G4" s="1">
        <v>343.52</v>
      </c>
      <c r="H4" s="2">
        <f>G4-C17</f>
        <v>256.65</v>
      </c>
      <c r="I4" s="2">
        <f t="shared" ref="I4:I7" si="2">H4</f>
        <v>256.65</v>
      </c>
      <c r="J4" s="2">
        <f>I4/60</f>
        <v>4.2775</v>
      </c>
    </row>
    <row r="5">
      <c r="B5" s="1" t="s">
        <v>11</v>
      </c>
      <c r="C5" s="1" t="s">
        <v>10</v>
      </c>
      <c r="D5" s="1">
        <v>29.87</v>
      </c>
      <c r="E5" s="1">
        <v>208.28</v>
      </c>
      <c r="F5" s="2">
        <f t="shared" si="1"/>
        <v>178.41</v>
      </c>
      <c r="G5" s="1">
        <v>252.94</v>
      </c>
      <c r="H5" s="2">
        <f>G5-E5</f>
        <v>44.66</v>
      </c>
      <c r="I5" s="2">
        <f t="shared" si="2"/>
        <v>44.66</v>
      </c>
    </row>
    <row r="6">
      <c r="B6" s="1" t="s">
        <v>12</v>
      </c>
      <c r="C6" s="1" t="s">
        <v>13</v>
      </c>
      <c r="D6" s="1">
        <v>127.72</v>
      </c>
      <c r="E6" s="1">
        <v>212.04</v>
      </c>
      <c r="F6" s="2">
        <f t="shared" si="1"/>
        <v>84.32</v>
      </c>
      <c r="G6" s="1">
        <v>307.7</v>
      </c>
      <c r="H6" s="2">
        <f>G6-C16</f>
        <v>220.74</v>
      </c>
      <c r="I6" s="2">
        <f t="shared" si="2"/>
        <v>220.74</v>
      </c>
      <c r="J6" s="2">
        <f>I6/60</f>
        <v>3.679</v>
      </c>
    </row>
    <row r="7">
      <c r="B7" s="1" t="s">
        <v>14</v>
      </c>
      <c r="C7" s="1" t="s">
        <v>13</v>
      </c>
      <c r="D7" s="1">
        <v>68.51</v>
      </c>
      <c r="E7" s="1">
        <v>158.49</v>
      </c>
      <c r="F7" s="2">
        <f t="shared" si="1"/>
        <v>89.98</v>
      </c>
      <c r="G7" s="1">
        <v>182.22</v>
      </c>
      <c r="H7" s="2">
        <f>G7-E7</f>
        <v>23.73</v>
      </c>
      <c r="I7" s="2">
        <f t="shared" si="2"/>
        <v>23.73</v>
      </c>
    </row>
    <row r="11">
      <c r="A11" s="1" t="s">
        <v>15</v>
      </c>
      <c r="B11" s="1" t="s">
        <v>16</v>
      </c>
    </row>
    <row r="12">
      <c r="A12" s="1" t="s">
        <v>17</v>
      </c>
      <c r="B12" s="1" t="s">
        <v>18</v>
      </c>
    </row>
    <row r="15">
      <c r="E15" s="3" t="s">
        <v>19</v>
      </c>
    </row>
    <row r="16">
      <c r="B16" s="1" t="s">
        <v>20</v>
      </c>
      <c r="C16" s="1">
        <v>86.96</v>
      </c>
      <c r="E16" s="1" t="s">
        <v>1</v>
      </c>
      <c r="F16" s="1" t="s">
        <v>2</v>
      </c>
      <c r="G16" s="1" t="s">
        <v>21</v>
      </c>
      <c r="H16" s="1" t="s">
        <v>22</v>
      </c>
      <c r="I16" s="1" t="s">
        <v>23</v>
      </c>
      <c r="J16" s="1" t="s">
        <v>24</v>
      </c>
      <c r="K16" s="1" t="s">
        <v>25</v>
      </c>
      <c r="L16" s="1" t="s">
        <v>26</v>
      </c>
      <c r="M16" s="1" t="s">
        <v>27</v>
      </c>
    </row>
    <row r="17">
      <c r="C17" s="1">
        <v>86.87</v>
      </c>
      <c r="E17" s="1" t="s">
        <v>9</v>
      </c>
      <c r="F17" s="1" t="s">
        <v>10</v>
      </c>
      <c r="G17" s="1">
        <v>70.56</v>
      </c>
      <c r="H17" s="1">
        <v>261.47</v>
      </c>
      <c r="I17" s="2">
        <f t="shared" ref="I17:I18" si="3">H17-G17</f>
        <v>190.91</v>
      </c>
      <c r="J17" s="1">
        <v>86.87</v>
      </c>
      <c r="K17" s="1">
        <v>256.65</v>
      </c>
      <c r="L17" s="2">
        <f t="shared" ref="L17:L19" si="4">K17</f>
        <v>256.65</v>
      </c>
      <c r="M17" s="2">
        <f t="shared" ref="M17:M18" si="5">L17/60</f>
        <v>4.2775</v>
      </c>
    </row>
    <row r="18">
      <c r="E18" s="1" t="s">
        <v>12</v>
      </c>
      <c r="F18" s="1" t="s">
        <v>13</v>
      </c>
      <c r="G18" s="1">
        <v>127.72</v>
      </c>
      <c r="H18" s="1">
        <v>212.04</v>
      </c>
      <c r="I18" s="2">
        <f t="shared" si="3"/>
        <v>84.32</v>
      </c>
      <c r="J18" s="1">
        <v>86.96</v>
      </c>
      <c r="K18" s="1">
        <v>220.74</v>
      </c>
      <c r="L18" s="2">
        <f t="shared" si="4"/>
        <v>220.74</v>
      </c>
      <c r="M18" s="2">
        <f t="shared" si="5"/>
        <v>3.679</v>
      </c>
    </row>
    <row r="19">
      <c r="L19" s="2" t="str">
        <f t="shared" si="4"/>
        <v/>
      </c>
    </row>
    <row r="20">
      <c r="E20" s="3" t="s">
        <v>28</v>
      </c>
      <c r="N20" s="1" t="s">
        <v>29</v>
      </c>
    </row>
    <row r="21">
      <c r="E21" s="1" t="s">
        <v>1</v>
      </c>
      <c r="F21" s="1" t="s">
        <v>2</v>
      </c>
      <c r="G21" s="1" t="s">
        <v>21</v>
      </c>
      <c r="H21" s="1" t="s">
        <v>22</v>
      </c>
      <c r="I21" s="1" t="s">
        <v>23</v>
      </c>
      <c r="J21" s="1" t="s">
        <v>24</v>
      </c>
      <c r="K21" s="1" t="s">
        <v>25</v>
      </c>
      <c r="L21" s="1" t="s">
        <v>26</v>
      </c>
      <c r="M21" s="1" t="s">
        <v>30</v>
      </c>
      <c r="N21" s="1" t="s">
        <v>31</v>
      </c>
    </row>
    <row r="22">
      <c r="E22" s="1" t="s">
        <v>11</v>
      </c>
      <c r="F22" s="1" t="s">
        <v>10</v>
      </c>
      <c r="G22" s="1">
        <v>29.87</v>
      </c>
      <c r="H22" s="1">
        <v>208.28</v>
      </c>
      <c r="I22" s="2">
        <f t="shared" ref="I22:I23" si="6">H22-G22</f>
        <v>178.41</v>
      </c>
      <c r="J22" s="1">
        <v>252.94</v>
      </c>
      <c r="K22" s="2">
        <f t="shared" ref="K22:K23" si="7">J22-H22</f>
        <v>44.66</v>
      </c>
      <c r="L22" s="2">
        <f t="shared" ref="L22:L23" si="8">K22</f>
        <v>44.66</v>
      </c>
      <c r="M22" s="1">
        <v>224.08</v>
      </c>
      <c r="N22" s="2">
        <f t="shared" ref="N22:N23" si="9">J22-M22</f>
        <v>28.86</v>
      </c>
    </row>
    <row r="23">
      <c r="E23" s="1" t="s">
        <v>14</v>
      </c>
      <c r="F23" s="1" t="s">
        <v>13</v>
      </c>
      <c r="G23" s="1">
        <v>68.51</v>
      </c>
      <c r="H23" s="1">
        <v>158.49</v>
      </c>
      <c r="I23" s="2">
        <f t="shared" si="6"/>
        <v>89.98</v>
      </c>
      <c r="J23" s="1">
        <v>182.22</v>
      </c>
      <c r="K23" s="2">
        <f t="shared" si="7"/>
        <v>23.73</v>
      </c>
      <c r="L23" s="2">
        <f t="shared" si="8"/>
        <v>23.73</v>
      </c>
      <c r="M23" s="1">
        <v>158.18</v>
      </c>
      <c r="N23" s="2">
        <f t="shared" si="9"/>
        <v>24.04</v>
      </c>
    </row>
    <row r="24">
      <c r="L24" s="1" t="s">
        <v>32</v>
      </c>
      <c r="M24" s="1">
        <v>206.84</v>
      </c>
      <c r="N24" s="2">
        <f t="shared" ref="N24:N25" si="10">J22-M24</f>
        <v>46.1</v>
      </c>
    </row>
    <row r="25">
      <c r="L25" s="1" t="s">
        <v>33</v>
      </c>
      <c r="M25" s="1">
        <v>157.23</v>
      </c>
      <c r="N25" s="2">
        <f t="shared" si="10"/>
        <v>24.99</v>
      </c>
    </row>
    <row r="26">
      <c r="L26" s="1" t="s">
        <v>34</v>
      </c>
    </row>
    <row r="27">
      <c r="L27" s="4">
        <v>46108.0</v>
      </c>
      <c r="N27" s="1" t="s">
        <v>35</v>
      </c>
    </row>
  </sheetData>
  <mergeCells count="2">
    <mergeCell ref="E15:M15"/>
    <mergeCell ref="E20:M20"/>
  </mergeCells>
  <drawing r:id="rId1"/>
</worksheet>
</file>